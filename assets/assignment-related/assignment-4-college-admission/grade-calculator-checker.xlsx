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IkesStuff\Pers\Dropbox\Work\Courses\BIT_115\Rubrics_Java\"/>
    </mc:Choice>
  </mc:AlternateContent>
  <xr:revisionPtr revIDLastSave="0" documentId="13_ncr:1_{D630E4A6-73FF-442C-9B0D-2C160536B5AD}" xr6:coauthVersionLast="47" xr6:coauthVersionMax="47" xr10:uidLastSave="{00000000-0000-0000-0000-000000000000}"/>
  <bookViews>
    <workbookView xWindow="-120" yWindow="-120" windowWidth="29040" windowHeight="17520" xr2:uid="{A068F97C-5AC6-4416-AA9F-B49304AE84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I10" i="1"/>
  <c r="N10" i="1"/>
  <c r="Q10" i="1"/>
  <c r="V10" i="1"/>
  <c r="D22" i="1"/>
  <c r="E22" i="1"/>
  <c r="E24" i="1" s="1"/>
  <c r="F22" i="1"/>
  <c r="F24" i="1" s="1"/>
  <c r="G22" i="1"/>
  <c r="G24" i="1" s="1"/>
  <c r="H22" i="1"/>
  <c r="H24" i="1" s="1"/>
  <c r="I22" i="1"/>
  <c r="I24" i="1" s="1"/>
  <c r="J22" i="1"/>
  <c r="J24" i="1" s="1"/>
  <c r="K22" i="1"/>
  <c r="K24" i="1" s="1"/>
  <c r="L22" i="1"/>
  <c r="L24" i="1" s="1"/>
  <c r="M22" i="1"/>
  <c r="M24" i="1" s="1"/>
  <c r="N22" i="1"/>
  <c r="N24" i="1" s="1"/>
  <c r="O22" i="1"/>
  <c r="O24" i="1" s="1"/>
  <c r="P22" i="1"/>
  <c r="P24" i="1" s="1"/>
  <c r="Q22" i="1"/>
  <c r="Q24" i="1" s="1"/>
  <c r="R22" i="1"/>
  <c r="R24" i="1" s="1"/>
  <c r="S22" i="1"/>
  <c r="S24" i="1" s="1"/>
  <c r="T22" i="1"/>
  <c r="T24" i="1" s="1"/>
  <c r="U22" i="1"/>
  <c r="U24" i="1" s="1"/>
  <c r="V22" i="1"/>
  <c r="V24" i="1" s="1"/>
  <c r="W22" i="1"/>
  <c r="W24" i="1" s="1"/>
  <c r="C22" i="1"/>
  <c r="D8" i="1"/>
  <c r="D10" i="1" s="1"/>
  <c r="E8" i="1"/>
  <c r="E10" i="1" s="1"/>
  <c r="F8" i="1"/>
  <c r="F10" i="1" s="1"/>
  <c r="G8" i="1"/>
  <c r="G10" i="1" s="1"/>
  <c r="H8" i="1"/>
  <c r="H10" i="1" s="1"/>
  <c r="I8" i="1"/>
  <c r="J8" i="1"/>
  <c r="J10" i="1" s="1"/>
  <c r="K8" i="1"/>
  <c r="K10" i="1" s="1"/>
  <c r="L8" i="1"/>
  <c r="L10" i="1" s="1"/>
  <c r="M8" i="1"/>
  <c r="M10" i="1" s="1"/>
  <c r="N8" i="1"/>
  <c r="O8" i="1"/>
  <c r="O10" i="1" s="1"/>
  <c r="P8" i="1"/>
  <c r="P10" i="1" s="1"/>
  <c r="Q8" i="1"/>
  <c r="R8" i="1"/>
  <c r="R10" i="1" s="1"/>
  <c r="S8" i="1"/>
  <c r="S10" i="1" s="1"/>
  <c r="T8" i="1"/>
  <c r="T10" i="1" s="1"/>
  <c r="U8" i="1"/>
  <c r="U10" i="1" s="1"/>
  <c r="V8" i="1"/>
  <c r="W8" i="1"/>
  <c r="W10" i="1" s="1"/>
  <c r="C8" i="1"/>
  <c r="C10" i="1" s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D24" i="1" l="1"/>
  <c r="C24" i="1"/>
</calcChain>
</file>

<file path=xl/sharedStrings.xml><?xml version="1.0" encoding="utf-8"?>
<sst xmlns="http://schemas.openxmlformats.org/spreadsheetml/2006/main" count="16" uniqueCount="12">
  <si>
    <t>SAT Math:</t>
  </si>
  <si>
    <t>SAT Verbal:</t>
  </si>
  <si>
    <t>Overall GPA:</t>
  </si>
  <si>
    <t>Max GPA:</t>
  </si>
  <si>
    <t>SAT Calc:</t>
  </si>
  <si>
    <t>GPA Calc:</t>
  </si>
  <si>
    <t>Grand Total:</t>
  </si>
  <si>
    <t>ACT Reading:</t>
  </si>
  <si>
    <t>ACT English:</t>
  </si>
  <si>
    <t>ACT Science:</t>
  </si>
  <si>
    <t>ACT Math:</t>
  </si>
  <si>
    <t>ACT Calc: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</si>
</sst>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693DE-8EB7-4CA5-B778-1073C7AA6861}">
  <dimension ref="B2:W24"/>
  <sheetViews>
    <sheetView tabSelected="1" workbookViewId="0">
      <selection activeCell="D18" sqref="D18"/>
    </sheetView>
  </sheetViews>
  <sheetFormatPr defaultRowHeight="15" x14ac:dyDescent="0.25"/>
  <cols>
    <col min="1" max="1" width="2.42578125" customWidth="1"/>
    <col min="2" max="2" width="26.5703125" customWidth="1"/>
  </cols>
  <sheetData>
    <row r="2" spans="2:23" ht="26.25" x14ac:dyDescent="0.4">
      <c r="B2" s="1" t="s">
        <v>0</v>
      </c>
      <c r="C2">
        <v>450</v>
      </c>
      <c r="D2">
        <v>610</v>
      </c>
      <c r="E2">
        <v>510</v>
      </c>
      <c r="F2">
        <v>570</v>
      </c>
    </row>
    <row r="3" spans="2:23" ht="26.25" x14ac:dyDescent="0.4">
      <c r="B3" s="1" t="s">
        <v>1</v>
      </c>
      <c r="C3">
        <v>530</v>
      </c>
      <c r="D3">
        <v>640</v>
      </c>
      <c r="E3">
        <v>530</v>
      </c>
      <c r="F3">
        <v>500</v>
      </c>
    </row>
    <row r="4" spans="2:23" ht="26.25" x14ac:dyDescent="0.4">
      <c r="B4" s="1" t="s">
        <v>2</v>
      </c>
      <c r="C4">
        <v>3.4</v>
      </c>
      <c r="D4">
        <v>4.3</v>
      </c>
      <c r="E4">
        <v>3.4</v>
      </c>
      <c r="F4">
        <v>3.4</v>
      </c>
    </row>
    <row r="5" spans="2:23" ht="26.25" x14ac:dyDescent="0.4">
      <c r="B5" s="1" t="s">
        <v>3</v>
      </c>
      <c r="C5">
        <v>4</v>
      </c>
      <c r="D5">
        <v>5</v>
      </c>
      <c r="E5">
        <v>4</v>
      </c>
      <c r="F5">
        <v>4</v>
      </c>
    </row>
    <row r="6" spans="2:23" ht="26.25" x14ac:dyDescent="0.4">
      <c r="B6" s="1"/>
    </row>
    <row r="7" spans="2:23" ht="26.25" x14ac:dyDescent="0.4">
      <c r="B7" s="1" t="s">
        <v>4</v>
      </c>
      <c r="C7">
        <f>(2*C3 + C2)/24</f>
        <v>62.916666666666664</v>
      </c>
      <c r="D7">
        <f t="shared" ref="D7:W7" si="0">(2*D3 + D2)/24</f>
        <v>78.75</v>
      </c>
      <c r="E7">
        <f t="shared" si="0"/>
        <v>65.416666666666671</v>
      </c>
      <c r="F7">
        <f t="shared" si="0"/>
        <v>65.416666666666671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  <c r="K7">
        <f t="shared" si="0"/>
        <v>0</v>
      </c>
      <c r="L7">
        <f t="shared" si="0"/>
        <v>0</v>
      </c>
      <c r="M7">
        <f t="shared" si="0"/>
        <v>0</v>
      </c>
      <c r="N7">
        <f t="shared" si="0"/>
        <v>0</v>
      </c>
      <c r="O7">
        <f t="shared" si="0"/>
        <v>0</v>
      </c>
      <c r="P7">
        <f t="shared" si="0"/>
        <v>0</v>
      </c>
      <c r="Q7">
        <f t="shared" si="0"/>
        <v>0</v>
      </c>
      <c r="R7">
        <f t="shared" si="0"/>
        <v>0</v>
      </c>
      <c r="S7">
        <f t="shared" si="0"/>
        <v>0</v>
      </c>
      <c r="T7">
        <f t="shared" si="0"/>
        <v>0</v>
      </c>
      <c r="U7">
        <f t="shared" si="0"/>
        <v>0</v>
      </c>
      <c r="V7">
        <f t="shared" si="0"/>
        <v>0</v>
      </c>
      <c r="W7">
        <f t="shared" si="0"/>
        <v>0</v>
      </c>
    </row>
    <row r="8" spans="2:23" ht="26.25" x14ac:dyDescent="0.4">
      <c r="B8" s="1" t="s">
        <v>5</v>
      </c>
      <c r="C8">
        <f>IF(C5&lt;&gt;"", C4/C5*100, "")</f>
        <v>85</v>
      </c>
      <c r="D8">
        <f t="shared" ref="D8:W8" si="1">IF(D5&lt;&gt;"", D4/D5*100, "")</f>
        <v>86</v>
      </c>
      <c r="E8">
        <f t="shared" si="1"/>
        <v>85</v>
      </c>
      <c r="F8">
        <f t="shared" si="1"/>
        <v>85</v>
      </c>
      <c r="G8" t="str">
        <f t="shared" si="1"/>
        <v/>
      </c>
      <c r="H8" t="str">
        <f t="shared" si="1"/>
        <v/>
      </c>
      <c r="I8" t="str">
        <f t="shared" si="1"/>
        <v/>
      </c>
      <c r="J8" t="str">
        <f t="shared" si="1"/>
        <v/>
      </c>
      <c r="K8" t="str">
        <f t="shared" si="1"/>
        <v/>
      </c>
      <c r="L8" t="str">
        <f t="shared" si="1"/>
        <v/>
      </c>
      <c r="M8" t="str">
        <f t="shared" si="1"/>
        <v/>
      </c>
      <c r="N8" t="str">
        <f t="shared" si="1"/>
        <v/>
      </c>
      <c r="O8" t="str">
        <f t="shared" si="1"/>
        <v/>
      </c>
      <c r="P8" t="str">
        <f t="shared" si="1"/>
        <v/>
      </c>
      <c r="Q8" t="str">
        <f t="shared" si="1"/>
        <v/>
      </c>
      <c r="R8" t="str">
        <f t="shared" si="1"/>
        <v/>
      </c>
      <c r="S8" t="str">
        <f t="shared" si="1"/>
        <v/>
      </c>
      <c r="T8" t="str">
        <f t="shared" si="1"/>
        <v/>
      </c>
      <c r="U8" t="str">
        <f t="shared" si="1"/>
        <v/>
      </c>
      <c r="V8" t="str">
        <f t="shared" si="1"/>
        <v/>
      </c>
      <c r="W8" t="str">
        <f t="shared" si="1"/>
        <v/>
      </c>
    </row>
    <row r="9" spans="2:23" ht="26.25" x14ac:dyDescent="0.4">
      <c r="B9" s="1"/>
    </row>
    <row r="10" spans="2:23" ht="26.25" x14ac:dyDescent="0.4">
      <c r="B10" s="1" t="s">
        <v>6</v>
      </c>
      <c r="C10">
        <f>IF(C8&lt;&gt;"", C7+C8, "")</f>
        <v>147.91666666666666</v>
      </c>
      <c r="D10">
        <f t="shared" ref="D10:W10" si="2">IF(D8&lt;&gt;"", D7+D8, "")</f>
        <v>164.75</v>
      </c>
      <c r="E10">
        <f t="shared" si="2"/>
        <v>150.41666666666669</v>
      </c>
      <c r="F10">
        <f t="shared" si="2"/>
        <v>150.41666666666669</v>
      </c>
      <c r="G10" t="str">
        <f t="shared" si="2"/>
        <v/>
      </c>
      <c r="H10" t="str">
        <f t="shared" si="2"/>
        <v/>
      </c>
      <c r="I10" t="str">
        <f t="shared" si="2"/>
        <v/>
      </c>
      <c r="J10" t="str">
        <f t="shared" si="2"/>
        <v/>
      </c>
      <c r="K10" t="str">
        <f t="shared" si="2"/>
        <v/>
      </c>
      <c r="L10" t="str">
        <f t="shared" si="2"/>
        <v/>
      </c>
      <c r="M10" t="str">
        <f t="shared" si="2"/>
        <v/>
      </c>
      <c r="N10" t="str">
        <f t="shared" si="2"/>
        <v/>
      </c>
      <c r="O10" t="str">
        <f t="shared" si="2"/>
        <v/>
      </c>
      <c r="P10" t="str">
        <f t="shared" si="2"/>
        <v/>
      </c>
      <c r="Q10" t="str">
        <f t="shared" si="2"/>
        <v/>
      </c>
      <c r="R10" t="str">
        <f t="shared" si="2"/>
        <v/>
      </c>
      <c r="S10" t="str">
        <f t="shared" si="2"/>
        <v/>
      </c>
      <c r="T10" t="str">
        <f t="shared" si="2"/>
        <v/>
      </c>
      <c r="U10" t="str">
        <f t="shared" si="2"/>
        <v/>
      </c>
      <c r="V10" t="str">
        <f t="shared" si="2"/>
        <v/>
      </c>
      <c r="W10" t="str">
        <f t="shared" si="2"/>
        <v/>
      </c>
    </row>
    <row r="14" spans="2:23" ht="26.25" x14ac:dyDescent="0.4">
      <c r="B14" s="1" t="s">
        <v>8</v>
      </c>
      <c r="C14">
        <v>25</v>
      </c>
      <c r="D14">
        <v>20</v>
      </c>
    </row>
    <row r="15" spans="2:23" ht="26.25" x14ac:dyDescent="0.4">
      <c r="B15" s="1" t="s">
        <v>10</v>
      </c>
      <c r="C15">
        <v>20</v>
      </c>
      <c r="D15">
        <v>19</v>
      </c>
    </row>
    <row r="16" spans="2:23" ht="26.25" x14ac:dyDescent="0.4">
      <c r="B16" s="1" t="s">
        <v>7</v>
      </c>
      <c r="C16">
        <v>18</v>
      </c>
      <c r="D16">
        <v>21</v>
      </c>
    </row>
    <row r="17" spans="2:23" ht="26.25" x14ac:dyDescent="0.4">
      <c r="B17" s="1" t="s">
        <v>9</v>
      </c>
      <c r="C17">
        <v>15</v>
      </c>
      <c r="D17">
        <v>30</v>
      </c>
    </row>
    <row r="18" spans="2:23" ht="26.25" x14ac:dyDescent="0.4">
      <c r="B18" s="1" t="s">
        <v>2</v>
      </c>
      <c r="C18">
        <v>3.3</v>
      </c>
      <c r="D18">
        <v>3.5</v>
      </c>
    </row>
    <row r="19" spans="2:23" ht="26.25" x14ac:dyDescent="0.4">
      <c r="B19" s="1" t="s">
        <v>3</v>
      </c>
      <c r="C19">
        <v>4</v>
      </c>
      <c r="D19">
        <v>4</v>
      </c>
    </row>
    <row r="20" spans="2:23" ht="26.25" x14ac:dyDescent="0.4">
      <c r="B20" s="1"/>
    </row>
    <row r="21" spans="2:23" ht="26.25" x14ac:dyDescent="0.4">
      <c r="B21" s="1" t="s">
        <v>11</v>
      </c>
      <c r="C21">
        <f>(2*C16+C14+C15+C17)/1.8</f>
        <v>53.333333333333329</v>
      </c>
      <c r="D21">
        <f t="shared" ref="D21:W21" si="3">(2*D16+D14+D15+D17)/1.8</f>
        <v>61.666666666666664</v>
      </c>
      <c r="E21">
        <f t="shared" si="3"/>
        <v>0</v>
      </c>
      <c r="F21">
        <f t="shared" si="3"/>
        <v>0</v>
      </c>
      <c r="G21">
        <f t="shared" si="3"/>
        <v>0</v>
      </c>
      <c r="H21">
        <f t="shared" si="3"/>
        <v>0</v>
      </c>
      <c r="I21">
        <f t="shared" si="3"/>
        <v>0</v>
      </c>
      <c r="J21">
        <f t="shared" si="3"/>
        <v>0</v>
      </c>
      <c r="K21">
        <f t="shared" si="3"/>
        <v>0</v>
      </c>
      <c r="L21">
        <f t="shared" si="3"/>
        <v>0</v>
      </c>
      <c r="M21">
        <f t="shared" si="3"/>
        <v>0</v>
      </c>
      <c r="N21">
        <f t="shared" si="3"/>
        <v>0</v>
      </c>
      <c r="O21">
        <f t="shared" si="3"/>
        <v>0</v>
      </c>
      <c r="P21">
        <f t="shared" si="3"/>
        <v>0</v>
      </c>
      <c r="Q21">
        <f t="shared" si="3"/>
        <v>0</v>
      </c>
      <c r="R21">
        <f t="shared" si="3"/>
        <v>0</v>
      </c>
      <c r="S21">
        <f t="shared" si="3"/>
        <v>0</v>
      </c>
      <c r="T21">
        <f t="shared" si="3"/>
        <v>0</v>
      </c>
      <c r="U21">
        <f t="shared" si="3"/>
        <v>0</v>
      </c>
      <c r="V21">
        <f t="shared" si="3"/>
        <v>0</v>
      </c>
      <c r="W21">
        <f t="shared" si="3"/>
        <v>0</v>
      </c>
    </row>
    <row r="22" spans="2:23" ht="26.25" x14ac:dyDescent="0.4">
      <c r="B22" s="1" t="s">
        <v>5</v>
      </c>
      <c r="C22">
        <f>IF(C19&lt;&gt;"", C18/C19*100, "")</f>
        <v>82.5</v>
      </c>
      <c r="D22">
        <f t="shared" ref="D22:W22" si="4">IF(D19&lt;&gt;"", D18/D19*100, "")</f>
        <v>87.5</v>
      </c>
      <c r="E22" t="str">
        <f t="shared" si="4"/>
        <v/>
      </c>
      <c r="F22" t="str">
        <f t="shared" si="4"/>
        <v/>
      </c>
      <c r="G22" t="str">
        <f t="shared" si="4"/>
        <v/>
      </c>
      <c r="H22" t="str">
        <f t="shared" si="4"/>
        <v/>
      </c>
      <c r="I22" t="str">
        <f t="shared" si="4"/>
        <v/>
      </c>
      <c r="J22" t="str">
        <f t="shared" si="4"/>
        <v/>
      </c>
      <c r="K22" t="str">
        <f t="shared" si="4"/>
        <v/>
      </c>
      <c r="L22" t="str">
        <f t="shared" si="4"/>
        <v/>
      </c>
      <c r="M22" t="str">
        <f t="shared" si="4"/>
        <v/>
      </c>
      <c r="N22" t="str">
        <f t="shared" si="4"/>
        <v/>
      </c>
      <c r="O22" t="str">
        <f t="shared" si="4"/>
        <v/>
      </c>
      <c r="P22" t="str">
        <f t="shared" si="4"/>
        <v/>
      </c>
      <c r="Q22" t="str">
        <f t="shared" si="4"/>
        <v/>
      </c>
      <c r="R22" t="str">
        <f t="shared" si="4"/>
        <v/>
      </c>
      <c r="S22" t="str">
        <f t="shared" si="4"/>
        <v/>
      </c>
      <c r="T22" t="str">
        <f t="shared" si="4"/>
        <v/>
      </c>
      <c r="U22" t="str">
        <f t="shared" si="4"/>
        <v/>
      </c>
      <c r="V22" t="str">
        <f t="shared" si="4"/>
        <v/>
      </c>
      <c r="W22" t="str">
        <f t="shared" si="4"/>
        <v/>
      </c>
    </row>
    <row r="23" spans="2:23" ht="26.25" x14ac:dyDescent="0.4">
      <c r="B23" s="1"/>
    </row>
    <row r="24" spans="2:23" ht="26.25" x14ac:dyDescent="0.4">
      <c r="B24" s="1" t="s">
        <v>6</v>
      </c>
      <c r="C24">
        <f>IF(C22&lt;&gt;"", C21+C22, "")</f>
        <v>135.83333333333331</v>
      </c>
      <c r="D24">
        <f t="shared" ref="D24:W24" si="5">IF(D22&lt;&gt;"", D21+D22, "")</f>
        <v>149.16666666666666</v>
      </c>
      <c r="E24" t="str">
        <f t="shared" si="5"/>
        <v/>
      </c>
      <c r="F24" t="str">
        <f t="shared" si="5"/>
        <v/>
      </c>
      <c r="G24" t="str">
        <f t="shared" si="5"/>
        <v/>
      </c>
      <c r="H24" t="str">
        <f t="shared" si="5"/>
        <v/>
      </c>
      <c r="I24" t="str">
        <f t="shared" si="5"/>
        <v/>
      </c>
      <c r="J24" t="str">
        <f t="shared" si="5"/>
        <v/>
      </c>
      <c r="K24" t="str">
        <f t="shared" si="5"/>
        <v/>
      </c>
      <c r="L24" t="str">
        <f t="shared" si="5"/>
        <v/>
      </c>
      <c r="M24" t="str">
        <f t="shared" si="5"/>
        <v/>
      </c>
      <c r="N24" t="str">
        <f t="shared" si="5"/>
        <v/>
      </c>
      <c r="O24" t="str">
        <f t="shared" si="5"/>
        <v/>
      </c>
      <c r="P24" t="str">
        <f t="shared" si="5"/>
        <v/>
      </c>
      <c r="Q24" t="str">
        <f t="shared" si="5"/>
        <v/>
      </c>
      <c r="R24" t="str">
        <f t="shared" si="5"/>
        <v/>
      </c>
      <c r="S24" t="str">
        <f t="shared" si="5"/>
        <v/>
      </c>
      <c r="T24" t="str">
        <f t="shared" si="5"/>
        <v/>
      </c>
      <c r="U24" t="str">
        <f t="shared" si="5"/>
        <v/>
      </c>
      <c r="V24" t="str">
        <f t="shared" si="5"/>
        <v/>
      </c>
      <c r="W24" t="str">
        <f t="shared" si="5"/>
        <v/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Panitz, Michael W.</dc:creator>
  <cp:lastModifiedBy>Panitz, Michael W.</cp:lastModifiedBy>
  <dcterms:created xsi:type="dcterms:W3CDTF">2024-11-28T19:32:13Z</dcterms:created>
  <dcterms:modified xsi:type="dcterms:W3CDTF">2024-11-30T01:33:29Z</dcterms:modified>
</cp:coreProperties>
</file>